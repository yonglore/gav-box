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978325de3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кономика" sheetId="1" r:id="R32e5ab673159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.0%"/>
    <x:numFmt numFmtId="202" formatCode="#,##0"/>
  </x:numFmts>
  <x:fonts count="10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b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5665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1F7"/>
      </x:patternFill>
    </x:fill>
    <x:fill>
      <x:patternFill patternType="solid">
        <x:fgColor rgb="FF192B4B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92B4B"/>
      </x:bottom>
      <x:diagonal/>
    </x:border>
    <x:border>
      <x:left/>
      <x:right/>
      <x:top style="thin">
        <x:color rgb="FFA8B2C2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1" fontId="8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22a4157b142ca" /><Relationship Type="http://schemas.openxmlformats.org/officeDocument/2006/relationships/theme" Target="/xl/theme/theme1.xml" Id="R689caef7dd8346e5" /><Relationship Type="http://schemas.openxmlformats.org/officeDocument/2006/relationships/sharedStrings" Target="/xl/sharedStrings.xml" Id="Red177301cc114a68" /><Relationship Type="http://schemas.openxmlformats.org/officeDocument/2006/relationships/worksheet" Target="/xl/worksheets/sheet1.xml" Id="R32e5ab673159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B4B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53" hidden="0" customWidth="1"/>
    <x:col min="2" max="2" width="18" hidden="0" customWidth="1"/>
    <x:col min="3" max="3" width="3" hidden="0" customWidth="1"/>
    <x:col min="4" max="4" width="76" hidden="0" customWidth="1"/>
    <x:col min="5" max="5" width="3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6" t="str">
        <x:v>Гав Бокс: экономика одного заказа</x:v>
      </x:c>
      <x:c r="B2" s="7"/>
      <x:c r="C2" s="7"/>
      <x:c r="D2" s="7"/>
      <x:c r="E2" s="2"/>
    </x:row>
    <x:row r="3" ht="23" customHeight="1">
      <x:c r="A3" s="8" t="str">
        <x:v>Москва · расчётные допущения · 04.10.2026</x:v>
      </x:c>
      <x:c r="B3" s="2"/>
      <x:c r="C3" s="2"/>
      <x:c r="D3" s="34"/>
      <x:c r="E3" s="2"/>
    </x:row>
    <x:row r="4" ht="23" customHeight="1">
      <x:c r="A4" s="2"/>
      <x:c r="B4" s="2"/>
      <x:c r="C4" s="2"/>
      <x:c r="D4" s="34"/>
      <x:c r="E4" s="2"/>
    </x:row>
    <x:row r="5" ht="23" customHeight="1">
      <x:c r="A5" s="11" t="str">
        <x:v>Доход после привлечения, ₽</x:v>
      </x:c>
      <x:c r="B5" s="12" t="n">
        <x:f>B42</x:f>
        <x:v>352.33500000000026</x:v>
      </x:c>
      <x:c r="C5" s="2"/>
      <x:c r="D5" s="34" t="str">
        <x:v>До постоянных расходов; это не чистая прибыль.</x:v>
      </x:c>
      <x:c r="E5" s="2"/>
    </x:row>
    <x:row r="6" ht="23" customHeight="1">
      <x:c r="A6" s="11" t="str">
        <x:v>Доля от выручки</x:v>
      </x:c>
      <x:c r="B6" s="13" t="n">
        <x:f>B43</x:f>
        <x:v>0.12633022588741494</x:v>
      </x:c>
      <x:c r="C6" s="2"/>
      <x:c r="D6" s="34"/>
      <x:c r="E6" s="2"/>
    </x:row>
    <x:row r="7" ht="23" customHeight="1">
      <x:c r="A7" s="11" t="str">
        <x:v>Заказов/месяц для покрытия всех постоянных</x:v>
      </x:c>
      <x:c r="B7" s="14" t="n">
        <x:f>B45</x:f>
        <x:v>270</x:v>
      </x:c>
      <x:c r="C7" s="2"/>
      <x:c r="D7" s="34" t="str">
        <x:v>Все заказы новые; включает заданную оплату основателям.</x:v>
      </x:c>
      <x:c r="E7" s="2"/>
    </x:row>
    <x:row r="8" ht="23" customHeight="1">
      <x:c r="A8" s="11" t="str">
        <x:v>Резерв денег на пилот до выручки, ₽</x:v>
      </x:c>
      <x:c r="B8" s="12" t="n">
        <x:f>B54</x:f>
        <x:v>67733.3</x:v>
      </x:c>
      <x:c r="C8" s="2"/>
      <x:c r="D8" s="34" t="str">
        <x:v>Консервативно: все расходы оплачены до первых поступлений.</x:v>
      </x:c>
      <x:c r="E8" s="2"/>
    </x:row>
    <x:row r="9" ht="23" customHeight="1">
      <x:c r="A9" s="11" t="str">
        <x:v>Результат пилота после подготовки, ₽</x:v>
      </x:c>
      <x:c r="B9" s="12" t="n">
        <x:f>B53</x:f>
        <x:v>-8953.300000000003</x:v>
      </x:c>
      <x:c r="C9" s="2"/>
      <x:c r="D9" s="34" t="str">
        <x:v>До ежемесячных постоянных расходов; партия продаётся целиком.</x:v>
      </x:c>
      <x:c r="E9" s="2"/>
    </x:row>
    <x:row r="10" ht="23" customHeight="1">
      <x:c r="A10" s="2"/>
      <x:c r="B10" s="3"/>
      <x:c r="C10" s="2"/>
      <x:c r="D10" s="34"/>
      <x:c r="E10" s="2"/>
    </x:row>
    <x:row r="11" ht="23" customHeight="1">
      <x:c r="A11" s="2" t="str">
        <x:v>Меняйте синие ячейки с жёлтой заливкой.</x:v>
      </x:c>
      <x:c r="B11" s="3"/>
      <x:c r="C11" s="2"/>
      <x:c r="D11" s="34" t="str">
        <x:v>Все входные числа — допущения, не тарифы и не полученные прайсы.</x:v>
      </x:c>
      <x:c r="E11" s="2"/>
    </x:row>
    <x:row r="12" ht="23" customHeight="1">
      <x:c r="A12" s="2" t="str">
        <x:v>Единицы: рубли, если не указано иначе.</x:v>
      </x:c>
      <x:c r="B12" s="3"/>
      <x:c r="C12" s="2"/>
      <x:c r="D12" s="34" t="str">
        <x:v>Модель без НДС. При возникновении НДС требуется перерасчёт.</x:v>
      </x:c>
      <x:c r="E12" s="2"/>
    </x:row>
    <x:row r="13" ht="23" customHeight="1">
      <x:c r="A13" s="2"/>
      <x:c r="B13" s="3"/>
      <x:c r="C13" s="2"/>
      <x:c r="D13" s="34"/>
      <x:c r="E13" s="2"/>
    </x:row>
    <x:row r="14" ht="23" customHeight="1">
      <x:c r="A14" s="19" t="str">
        <x:v>Допущения на заказ и пилот</x:v>
      </x:c>
      <x:c r="B14" s="20"/>
      <x:c r="C14" s="2"/>
      <x:c r="D14" s="34"/>
      <x:c r="E14" s="2"/>
    </x:row>
    <x:row r="15" ht="23" customHeight="1">
      <x:c r="A15" s="2" t="str">
        <x:v>Цена набора</x:v>
      </x:c>
      <x:c r="B15" s="22" t="n">
        <x:v>2490</x:v>
      </x:c>
      <x:c r="C15" s="2"/>
      <x:c r="D15" s="34" t="str">
        <x:v>Проверить оплатой реального заказа.</x:v>
      </x:c>
      <x:c r="E15" s="2"/>
    </x:row>
    <x:row r="16" ht="23" customHeight="1">
      <x:c r="A16" s="2" t="str">
        <x:v>Доставка, оплаченная покупателем</x:v>
      </x:c>
      <x:c r="B16" s="22" t="n">
        <x:v>299</x:v>
      </x:c>
      <x:c r="C16" s="2"/>
      <x:c r="D16" s="34" t="str">
        <x:v>Поступление продавцу; входит в базу резерва налога и эквайринга.</x:v>
      </x:c>
      <x:c r="E16" s="2"/>
    </x:row>
    <x:row r="17" ht="23" customHeight="1">
      <x:c r="A17" s="2" t="str">
        <x:v>Закупка содержимого</x:v>
      </x:c>
      <x:c r="B17" s="22" t="n">
        <x:v>950</x:v>
      </x:c>
      <x:c r="C17" s="2"/>
      <x:c r="D17" s="34" t="str">
        <x:v>Целевой бюджет. Заменить котировкой поставщика.</x:v>
      </x:c>
      <x:c r="E17" s="2"/>
    </x:row>
    <x:row r="18" ht="23" customHeight="1">
      <x:c r="A18" s="2" t="str">
        <x:v>Коробка и вкладыш</x:v>
      </x:c>
      <x:c r="B18" s="22" t="n">
        <x:v>150</x:v>
      </x:c>
      <x:c r="C18" s="2"/>
      <x:c r="D18" s="34" t="str">
        <x:v>Допущение на единицу.</x:v>
      </x:c>
      <x:c r="E18" s="2"/>
    </x:row>
    <x:row r="19" ht="23" customHeight="1">
      <x:c r="A19" s="2" t="str">
        <x:v>Входящая доставка на единицу</x:v>
      </x:c>
      <x:c r="B19" s="22" t="n">
        <x:v>50</x:v>
      </x:c>
      <x:c r="C19" s="2"/>
      <x:c r="D19" s="34" t="str">
        <x:v>Распределить стоимость поставки по партии.</x:v>
      </x:c>
      <x:c r="E19" s="2"/>
    </x:row>
    <x:row r="20" ht="23" customHeight="1">
      <x:c r="A20" s="2" t="str">
        <x:v>Труд сборки и обработки заказа</x:v>
      </x:c>
      <x:c r="B20" s="22" t="n">
        <x:v>100</x:v>
      </x:c>
      <x:c r="C20" s="2"/>
      <x:c r="D20" s="34" t="str">
        <x:v>Включён даже при самостоятельной сборке.</x:v>
      </x:c>
      <x:c r="E20" s="2"/>
    </x:row>
    <x:row r="21" ht="23" customHeight="1">
      <x:c r="A21" s="2" t="str">
        <x:v>Доставка покупателю</x:v>
      </x:c>
      <x:c r="B21" s="22" t="n">
        <x:v>350</x:v>
      </x:c>
      <x:c r="C21" s="2"/>
      <x:c r="D21" s="34" t="str">
        <x:v>Не тариф службы. Требуется маршрут, вес и размер.</x:v>
      </x:c>
      <x:c r="E21" s="2"/>
    </x:row>
    <x:row r="22" ht="23" customHeight="1">
      <x:c r="A22" s="2" t="str">
        <x:v>Эквайринг, доля всей выручки</x:v>
      </x:c>
      <x:c r="B22" s="23" t="n">
        <x:v>0.025</x:v>
      </x:c>
      <x:c r="C22" s="2"/>
      <x:c r="D22" s="34" t="str">
        <x:v>Заменить условиями договора.</x:v>
      </x:c>
      <x:c r="E22" s="2"/>
    </x:row>
    <x:row r="23" ht="23" customHeight="1">
      <x:c r="A23" s="2" t="str">
        <x:v>Резерв налога, доля всей выручки</x:v>
      </x:c>
      <x:c r="B23" s="23" t="n">
        <x:v>0.06</x:v>
      </x:c>
      <x:c r="C23" s="2"/>
      <x:c r="D23" s="34" t="str">
        <x:v>Гипотеза УСН «доходы»; не индивидуальный налоговый расчёт.</x:v>
      </x:c>
      <x:c r="E23" s="2"/>
    </x:row>
    <x:row r="24" ht="23" customHeight="1">
      <x:c r="A24" s="2" t="str">
        <x:v>Резерв потерь, доля цены набора</x:v>
      </x:c>
      <x:c r="B24" s="23" t="n">
        <x:v>0.04</x:v>
      </x:c>
      <x:c r="C24" s="2"/>
      <x:c r="D24" s="34" t="str">
        <x:v>Чистые ожидаемые расходы на претензии, а не частота возвратов.</x:v>
      </x:c>
      <x:c r="E24" s="2"/>
    </x:row>
    <x:row r="25" ht="23" customHeight="1">
      <x:c r="A25" s="2" t="str">
        <x:v>CAC нового покупателя</x:v>
      </x:c>
      <x:c r="B25" s="22" t="n">
        <x:v>500</x:v>
      </x:c>
      <x:c r="C25" s="2"/>
      <x:c r="D25" s="34" t="str">
        <x:v>Реклама, подаренные образцы и относимые расходы привлечения.</x:v>
      </x:c>
      <x:c r="E25" s="2"/>
    </x:row>
    <x:row r="26" ht="23" customHeight="1">
      <x:c r="A26" s="2" t="str">
        <x:v>Постоянные расходы в месяц</x:v>
      </x:c>
      <x:c r="B26" s="22" t="n">
        <x:v>15000</x:v>
      </x:c>
      <x:c r="C26" s="2"/>
      <x:c r="D26" s="34" t="str">
        <x:v>Бухгалтерия, касса, хранение, взносы и прочее: оценка.</x:v>
      </x:c>
      <x:c r="E26" s="2"/>
    </x:row>
    <x:row r="27" ht="23" customHeight="1">
      <x:c r="A27" s="2" t="str">
        <x:v>Оплата основателям в месяц</x:v>
      </x:c>
      <x:c r="B27" s="22" t="n">
        <x:v>80000</x:v>
      </x:c>
      <x:c r="C27" s="2"/>
      <x:c r="D27" s="34" t="str">
        <x:v>Дополнительно к сборке. Не дублировать труд, включённый в CAC.</x:v>
      </x:c>
      <x:c r="E27" s="2"/>
    </x:row>
    <x:row r="28" ht="23" customHeight="1">
      <x:c r="A28" s="2" t="str">
        <x:v>Количество новых заказов в пилоте</x:v>
      </x:c>
      <x:c r="B28" s="24" t="n">
        <x:v>20</x:v>
      </x:c>
      <x:c r="C28" s="2"/>
      <x:c r="D28" s="34" t="str">
        <x:v>Не факт спроса; весь объём предполагается проданным.</x:v>
      </x:c>
      <x:c r="E28" s="2"/>
    </x:row>
    <x:row r="29" ht="23" customHeight="1">
      <x:c r="A29" s="2" t="str">
        <x:v>Разовые расходы подготовки</x:v>
      </x:c>
      <x:c r="B29" s="22" t="n">
        <x:v>12000</x:v>
      </x:c>
      <x:c r="C29" s="2"/>
      <x:c r="D29" s="34" t="str">
        <x:v>Оценка. Проверить реальную стоимость оформления запуска.</x:v>
      </x:c>
      <x:c r="E29" s="2"/>
    </x:row>
    <x:row r="30" ht="23" customHeight="1">
      <x:c r="A30" s="2" t="str">
        <x:v>Прототипы и образцы</x:v>
      </x:c>
      <x:c r="B30" s="22" t="n">
        <x:v>4000</x:v>
      </x:c>
      <x:c r="C30" s="2"/>
      <x:c r="D30" s="34" t="str">
        <x:v>Отдельно от продаваемой партии.</x:v>
      </x:c>
      <x:c r="E30" s="2"/>
    </x:row>
    <x:row r="31" ht="23" customHeight="1">
      <x:c r="A31" s="2" t="str">
        <x:v>Дополнительный денежный резерв</x:v>
      </x:c>
      <x:c r="B31" s="22" t="n">
        <x:v>3000</x:v>
      </x:c>
      <x:c r="C31" s="2"/>
      <x:c r="D31" s="34" t="str">
        <x:v>Не расход в расчёте результата до фактического использования.</x:v>
      </x:c>
      <x:c r="E31" s="2"/>
    </x:row>
    <x:row r="32" ht="23" customHeight="1">
      <x:c r="A32" s="2" t="str">
        <x:v>Справка по налоговой гипотезе</x:v>
      </x:c>
      <x:c r="B32" s="3"/>
      <x:c r="C32" s="2"/>
      <x:c r="D32" s="34" t="str">
        <x:v>https://www.nalog.gov.ru/rn77/taxation/taxes/usn/</x:v>
      </x:c>
      <x:c r="E32" s="2"/>
    </x:row>
    <x:row r="33" ht="23" customHeight="1">
      <x:c r="A33" s="2"/>
      <x:c r="B33" s="3"/>
      <x:c r="C33" s="2"/>
      <x:c r="D33" s="34"/>
      <x:c r="E33" s="2"/>
    </x:row>
    <x:row r="34" ht="23" customHeight="1">
      <x:c r="A34" s="19" t="str">
        <x:v>Расчёт на один новый заказ</x:v>
      </x:c>
      <x:c r="B34" s="20"/>
      <x:c r="C34" s="2"/>
      <x:c r="D34" s="34"/>
      <x:c r="E34" s="2"/>
    </x:row>
    <x:row r="35" ht="23" customHeight="1">
      <x:c r="A35" s="2" t="str">
        <x:v>Выручка с доставкой</x:v>
      </x:c>
      <x:c r="B35" s="3" t="n">
        <x:f>IF(COUNT(B15:B16)=2,SUM(B15:B16),"n.a.")</x:f>
        <x:v>2789</x:v>
      </x:c>
      <x:c r="C35" s="2"/>
      <x:c r="D35" s="34"/>
      <x:c r="E35" s="2"/>
    </x:row>
    <x:row r="36" ht="23" customHeight="1">
      <x:c r="A36" s="2" t="str">
        <x:v>Содержимое, упаковка, приёмка и сборка</x:v>
      </x:c>
      <x:c r="B36" s="3" t="n">
        <x:f>SUM(B17:B20)</x:f>
        <x:v>1250</x:v>
      </x:c>
      <x:c r="C36" s="2"/>
      <x:c r="D36" s="34"/>
      <x:c r="E36" s="2"/>
    </x:row>
    <x:row r="37" ht="23" customHeight="1">
      <x:c r="A37" s="2" t="str">
        <x:v>Эквайринг</x:v>
      </x:c>
      <x:c r="B37" s="3" t="n">
        <x:f>B35*B22</x:f>
        <x:v>69.72500000000001</x:v>
      </x:c>
      <x:c r="C37" s="2"/>
      <x:c r="D37" s="34"/>
      <x:c r="E37" s="2"/>
    </x:row>
    <x:row r="38" ht="23" customHeight="1">
      <x:c r="A38" s="2" t="str">
        <x:v>Налоговый резерв</x:v>
      </x:c>
      <x:c r="B38" s="3" t="n">
        <x:f>B35*B23</x:f>
        <x:v>167.34</x:v>
      </x:c>
      <x:c r="C38" s="2"/>
      <x:c r="D38" s="34"/>
      <x:c r="E38" s="2"/>
    </x:row>
    <x:row r="39" ht="23" customHeight="1">
      <x:c r="A39" s="2" t="str">
        <x:v>Резерв потерь</x:v>
      </x:c>
      <x:c r="B39" s="3" t="n">
        <x:f>B15*B24</x:f>
        <x:v>99.60000000000001</x:v>
      </x:c>
      <x:c r="C39" s="2"/>
      <x:c r="D39" s="34"/>
      <x:c r="E39" s="2"/>
    </x:row>
    <x:row r="40" ht="23" customHeight="1">
      <x:c r="A40" s="2" t="str">
        <x:v>Все переменные расходы до привлечения</x:v>
      </x:c>
      <x:c r="B40" s="3" t="n">
        <x:f>IF(COUNT(B15:B24)=10,SUM(B36:B39)+B21,"n.a.")</x:f>
        <x:v>1936.6649999999997</x:v>
      </x:c>
      <x:c r="C40" s="2"/>
      <x:c r="D40" s="34"/>
      <x:c r="E40" s="2"/>
    </x:row>
    <x:row r="41" ht="23" customHeight="1">
      <x:c r="A41" s="29" t="str">
        <x:v>Маржинальный доход до привлечения</x:v>
      </x:c>
      <x:c r="B41" s="30" t="n">
        <x:f>IF(ISNUMBER(B40),B35-B40,"n.a.")</x:f>
        <x:v>852.3350000000003</x:v>
      </x:c>
      <x:c r="C41" s="2"/>
      <x:c r="D41" s="34"/>
      <x:c r="E41" s="2"/>
    </x:row>
    <x:row r="42" ht="23" customHeight="1">
      <x:c r="A42" s="29" t="str">
        <x:v>Маржинальный доход после привлечения</x:v>
      </x:c>
      <x:c r="B42" s="30" t="n">
        <x:f>IF(AND(ISNUMBER(B41),ISNUMBER(B25)),B41-B25,"n.a.")</x:f>
        <x:v>352.33500000000026</x:v>
      </x:c>
      <x:c r="C42" s="2"/>
      <x:c r="D42" s="34"/>
      <x:c r="E42" s="2"/>
    </x:row>
    <x:row r="43" ht="23" customHeight="1">
      <x:c r="A43" s="2" t="str">
        <x:v>Доля дохода после привлечения</x:v>
      </x:c>
      <x:c r="B43" s="25" t="n">
        <x:f>IF(AND(ISNUMBER(B42),ISNUMBER(B35)),IF(B35=0,"n.a.",B42/B35),"n.a.")</x:f>
        <x:v>0.12633022588741494</x:v>
      </x:c>
      <x:c r="C43" s="2"/>
      <x:c r="D43" s="34"/>
      <x:c r="E43" s="2"/>
    </x:row>
    <x:row r="44" ht="23" customHeight="1">
      <x:c r="A44" s="2" t="str">
        <x:v>Заказов для покрытия расходов без основателей</x:v>
      </x:c>
      <x:c r="B44" s="26" t="n">
        <x:f>IF(AND(ISNUMBER(B42),ISNUMBER(B26)),IF(B42&lt;=0,"n.a.",ROUNDUP(B26/B42,0)),"n.a.")</x:f>
        <x:v>43</x:v>
      </x:c>
      <x:c r="C44" s="2"/>
      <x:c r="D44" s="34"/>
      <x:c r="E44" s="2"/>
    </x:row>
    <x:row r="45" ht="23" customHeight="1">
      <x:c r="A45" s="29" t="str">
        <x:v>Заказов для покрытия расходов с основателями</x:v>
      </x:c>
      <x:c r="B45" s="32" t="n">
        <x:f>IF(AND(ISNUMBER(B42),COUNT(B26:B27)=2),IF(B42&lt;=0,"n.a.",ROUNDUP(SUM(B26:B27)/B42,0)),"n.a.")</x:f>
        <x:v>270</x:v>
      </x:c>
      <x:c r="C45" s="2"/>
      <x:c r="D45" s="34"/>
      <x:c r="E45" s="2"/>
    </x:row>
    <x:row r="46" ht="23" customHeight="1">
      <x:c r="A46" s="2"/>
      <x:c r="B46" s="3"/>
      <x:c r="C46" s="2"/>
      <x:c r="D46" s="34"/>
      <x:c r="E46" s="2"/>
    </x:row>
    <x:row r="47" ht="23" customHeight="1">
      <x:c r="A47" s="2"/>
      <x:c r="B47" s="3"/>
      <x:c r="C47" s="2"/>
      <x:c r="D47" s="34"/>
      <x:c r="E47" s="2"/>
    </x:row>
    <x:row r="48" ht="23" customHeight="1">
      <x:c r="A48" s="19" t="str">
        <x:v>Пилот: все заказы новые</x:v>
      </x:c>
      <x:c r="B48" s="20"/>
      <x:c r="C48" s="2"/>
      <x:c r="D48" s="34"/>
      <x:c r="E48" s="2"/>
    </x:row>
    <x:row r="49" ht="23" customHeight="1">
      <x:c r="A49" s="2" t="str">
        <x:v>Выручка пилота</x:v>
      </x:c>
      <x:c r="B49" s="3" t="n">
        <x:f>IF(AND(ISNUMBER(B35),ISNUMBER(B28)),B35*B28,"n.a.")</x:f>
        <x:v>55780</x:v>
      </x:c>
      <x:c r="C49" s="2"/>
      <x:c r="D49" s="34"/>
      <x:c r="E49" s="2"/>
    </x:row>
    <x:row r="50" ht="23" customHeight="1">
      <x:c r="A50" s="2" t="str">
        <x:v>Переменные расходы пилота с привлечением</x:v>
      </x:c>
      <x:c r="B50" s="3" t="n">
        <x:f>IF(AND(ISNUMBER(B40),ISNUMBER(B25),ISNUMBER(B28)),(B40+B25)*B28,"n.a.")</x:f>
        <x:v>48733.3</x:v>
      </x:c>
      <x:c r="C50" s="2"/>
      <x:c r="D50" s="34"/>
      <x:c r="E50" s="2"/>
    </x:row>
    <x:row r="51" ht="23" customHeight="1">
      <x:c r="A51" s="29" t="str">
        <x:v>Доход до расходов подготовки</x:v>
      </x:c>
      <x:c r="B51" s="30" t="n">
        <x:f>IF(COUNT(B49:B50)=2,B49-B50,"n.a.")</x:f>
        <x:v>7046.699999999997</x:v>
      </x:c>
      <x:c r="C51" s="2"/>
      <x:c r="D51" s="34"/>
      <x:c r="E51" s="2"/>
    </x:row>
    <x:row r="52" ht="23" customHeight="1">
      <x:c r="A52" s="2" t="str">
        <x:v>Подготовка и прототипы</x:v>
      </x:c>
      <x:c r="B52" s="3" t="n">
        <x:f>IF(COUNT(B29:B30)=2,SUM(B29:B30),"n.a.")</x:f>
        <x:v>16000</x:v>
      </x:c>
      <x:c r="C52" s="2"/>
      <x:c r="D52" s="34"/>
      <x:c r="E52" s="2"/>
    </x:row>
    <x:row r="53" ht="23" customHeight="1">
      <x:c r="A53" s="29" t="str">
        <x:v>Результат после подготовки</x:v>
      </x:c>
      <x:c r="B53" s="30" t="n">
        <x:f>IF(COUNT(B51:B52)=2,B51-B52,"n.a.")</x:f>
        <x:v>-8953.300000000003</x:v>
      </x:c>
      <x:c r="C53" s="2"/>
      <x:c r="D53" s="34" t="str">
        <x:v>Ежемесячные расходы строк 26–27 не вычтены.</x:v>
      </x:c>
      <x:c r="E53" s="2"/>
    </x:row>
    <x:row r="54" ht="23" customHeight="1">
      <x:c r="A54" s="29" t="str">
        <x:v>Денежный резерв до получения выручки</x:v>
      </x:c>
      <x:c r="B54" s="30" t="n">
        <x:f>IF(COUNT(B50,B52,B31)=3,SUM(B50,B52,B31),"n.a.")</x:f>
        <x:v>67733.3</x:v>
      </x:c>
      <x:c r="C54" s="2"/>
      <x:c r="D54" s="34" t="str">
        <x:v>Предоплата может снизить потребность, но создаёт обязательства.</x:v>
      </x:c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 t="str">
        <x:v>n.a. — результата нет: проверьте входные данные.</x:v>
      </x:c>
      <x:c r="B56" s="2"/>
      <x:c r="C56" s="2"/>
      <x:c r="D56" s="2" t="str">
        <x:v>Нулевая или отрицательная маржа не даёт точки безубыточности.</x:v>
      </x:c>
      <x:c r="E56" s="2"/>
    </x:row>
    <x:row r="57" ht="23" customHeight="1">
      <x:c r="A57" s="2"/>
      <x:c r="B57" s="2"/>
      <x:c r="C57" s="2"/>
      <x:c r="D57" s="2"/>
      <x:c r="E57" s="2"/>
    </x:row>
  </x:sheetData>
  <x:conditionalFormatting sqref="B5:B5">
    <x:cfRule type="cellIs" dxfId="0" priority="1" operator="lessThan">
      <x:formula>0</x:formula>
    </x:cfRule>
  </x:conditionalFormatting>
  <x:conditionalFormatting sqref="B9:B9">
    <x:cfRule type="cellIs" dxfId="1" priority="2" operator="lessThan">
      <x:formula>0</x:formula>
    </x:cfRule>
  </x:conditionalFormatting>
  <x:conditionalFormatting sqref="B41:B42">
    <x:cfRule type="cellIs" dxfId="2" priority="3" operator="lessThan">
      <x:formula>0</x:formula>
    </x:cfRule>
  </x:conditionalFormatting>
  <x:conditionalFormatting sqref="B51:B51">
    <x:cfRule type="cellIs" dxfId="3" priority="4" operator="lessThan">
      <x:formula>0</x:formula>
    </x:cfRule>
  </x:conditionalFormatting>
  <x:conditionalFormatting sqref="B53:B53">
    <x:cfRule type="cellIs" dxfId="4" priority="5" operator="lessThan">
      <x:formula>0</x:formula>
    </x:cfRule>
  </x:conditionalFormatting>
  <x:dataValidations count="5">
    <x:dataValidation type="decimal" operator="greaterThanOrEqual" sqref="B15:B21">
      <x:formula1>0</x:formula1>
    </x:dataValidation>
    <x:dataValidation type="decimal" operator="greaterThanOrEqual" sqref="B25:B27">
      <x:formula1>0</x:formula1>
    </x:dataValidation>
    <x:dataValidation type="decimal" operator="greaterThanOrEqual" sqref="B29:B31">
      <x:formula1>0</x:formula1>
    </x:dataValidation>
    <x:dataValidation type="decimal" operator="between" sqref="B22:B24">
      <x:formula1>0</x:formula1>
      <x:formula2>1</x:formula2>
    </x:dataValidation>
    <x:dataValidation type="whole" operator="greaterThanOrEqual" sqref="B28">
      <x:formula1>1</x:formula1>
    </x:dataValidation>
  </x:dataValidations>
  <x:pageMargins left="0.7" right="0.7" top="0.75" bottom="0.75" header="0.3" footer="0.3"/>
</x:worksheet>
</file>